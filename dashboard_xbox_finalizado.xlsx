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unar\Documents\ADS\dashboard_xbox\"/>
    </mc:Choice>
  </mc:AlternateContent>
  <xr:revisionPtr revIDLastSave="0" documentId="13_ncr:1_{1F32DF7F-F411-4B2A-92F9-D6A2F2011A69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7" i="3" l="1"/>
  <c r="E37" i="3"/>
</calcChain>
</file>

<file path=xl/sharedStrings.xml><?xml version="1.0" encoding="utf-8"?>
<sst xmlns="http://schemas.openxmlformats.org/spreadsheetml/2006/main" count="2020" uniqueCount="323">
  <si>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</si>
  <si>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</si>
  <si>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</si>
  <si>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</si>
  <si>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</si>
  <si>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</si>
  <si>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</si>
  <si>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</si>
  <si>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</si>
  <si>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</si>
  <si>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</si>
  <si>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</si>
  <si>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</si>
  <si>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</si>
  <si>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</si>
  <si>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</si>
  <si>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</si>
  <si>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</si>
  <si>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</si>
  <si>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</si>
  <si>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</si>
  <si>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</si>
  <si>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</si>
  <si>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</si>
  <si>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</si>
  <si>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</si>
  <si>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</si>
  <si>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</si>
  <si>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</si>
  <si>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</si>
  <si>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</si>
  <si>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</si>
  <si>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</si>
  <si>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</si>
  <si>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</si>
  <si>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</si>
  <si>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</si>
  <si>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</si>
  <si>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</si>
  <si>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</si>
  <si>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</si>
  <si>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</si>
  <si>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</si>
  <si>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</si>
  <si>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</si>
  <si>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</si>
  <si>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</si>
  <si>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</si>
  <si>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</si>
  <si>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</si>
  <si>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</si>
  <si>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</si>
  <si>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</si>
  <si>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</si>
  <si>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</si>
  <si>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</si>
  <si>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</si>
  <si>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</si>
  <si>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</si>
  <si>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</si>
  <si>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</si>
  <si>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</si>
  <si>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</si>
  <si>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</si>
  <si>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</si>
  <si>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</si>
  <si>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</si>
  <si>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</si>
  <si>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</si>
  <si>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</si>
  <si>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</si>
  <si>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</si>
  <si>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</si>
  <si>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</si>
  <si>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</si>
  <si>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</si>
  <si>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</si>
  <si>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</si>
  <si>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</si>
  <si>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</si>
  <si>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</si>
  <si>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</si>
  <si>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</si>
  <si>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</si>
  <si>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</si>
  <si>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</si>
  <si>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</si>
  <si>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</si>
  <si>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</si>
  <si>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</si>
  <si>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</si>
  <si>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</si>
  <si>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</si>
  <si>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</si>
  <si>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</si>
  <si>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</si>
  <si>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</si>
  <si>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</si>
  <si>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</si>
  <si>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</si>
  <si>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</si>
  <si>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</si>
  <si>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</si>
  <si>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</si>
  <si>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</si>
  <si>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</si>
  <si>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</si>
  <si>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</si>
  <si>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</si>
  <si>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</si>
  <si>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</si>
  <si>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</si>
  <si>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</si>
  <si>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</si>
  <si>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</si>
  <si>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</si>
  <si>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</si>
  <si>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</si>
  <si>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</si>
  <si>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</si>
  <si>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</si>
  <si>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</si>
  <si>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</si>
  <si>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</si>
  <si>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</si>
  <si>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</si>
  <si>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</si>
  <si>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</si>
  <si>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</si>
  <si>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</si>
  <si>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</si>
  <si>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</si>
  <si>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</si>
  <si>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</si>
  <si>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</si>
  <si>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</si>
  <si>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</si>
  <si>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</si>
  <si>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</si>
  <si>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</si>
  <si>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</si>
  <si>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</si>
  <si>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</si>
  <si>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</si>
  <si>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</si>
  <si>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</si>
  <si>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</si>
  <si>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</si>
  <si>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</si>
  <si>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</si>
  <si>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</si>
  <si>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</si>
  <si>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</si>
  <si>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</si>
  <si>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</si>
  <si>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</si>
  <si>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</si>
  <si>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</si>
  <si>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</si>
  <si>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</si>
  <si>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</si>
  <si>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</si>
  <si>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</si>
  <si>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</si>
  <si>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</si>
  <si>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</si>
  <si>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</si>
  <si>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</si>
  <si>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</si>
  <si>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</si>
  <si>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</si>
  <si>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</si>
  <si>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</si>
  <si>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</si>
  <si>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</si>
  <si>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</si>
  <si>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</si>
  <si>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</si>
  <si>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</si>
  <si>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</si>
  <si>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</si>
  <si>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</si>
  <si>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</si>
  <si>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</si>
  <si>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</si>
  <si>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</si>
  <si>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</si>
  <si>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</si>
  <si>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</si>
  <si>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</si>
  <si>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</si>
  <si>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</si>
  <si>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</si>
  <si>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</si>
  <si>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</si>
  <si>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</si>
  <si>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</si>
  <si>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</si>
  <si>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</si>
  <si>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</si>
  <si>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</si>
  <si>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</si>
  <si>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</si>
  <si>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</si>
  <si>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</si>
  <si>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</si>
  <si>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</si>
  <si>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</si>
  <si>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</si>
  <si>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</si>
  <si>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</si>
  <si>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</si>
  <si>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</si>
  <si>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</si>
  <si>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</si>
  <si>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</si>
  <si>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</si>
  <si>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</si>
  <si>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</si>
  <si>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</si>
  <si>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</si>
  <si>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</si>
  <si>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</si>
  <si>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</si>
  <si>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</si>
  <si>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</si>
  <si>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</si>
  <si>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</si>
  <si>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</si>
  <si>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</si>
  <si>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</si>
  <si>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</si>
  <si>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</si>
  <si>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</si>
  <si>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</si>
  <si>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</si>
  <si>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</si>
  <si>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</si>
  <si>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</si>
  <si>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</si>
  <si>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</si>
  <si>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</si>
  <si>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</si>
  <si>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</si>
  <si>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</si>
  <si>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</si>
  <si>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</si>
  <si>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</si>
  <si>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</si>
  <si>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</si>
  <si>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</si>
  <si>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</si>
  <si>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</si>
  <si>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</si>
  <si>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</si>
  <si>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</si>
  <si>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</si>
  <si>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</si>
  <si>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</si>
  <si>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</si>
  <si>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</si>
  <si>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</si>
  <si>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</si>
  <si>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</si>
  <si>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</si>
  <si>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</si>
  <si>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</si>
  <si>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</si>
  <si>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</si>
  <si>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</si>
  <si>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</si>
  <si>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</si>
  <si>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</si>
  <si>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</si>
  <si>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</si>
  <si>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</si>
  <si>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</si>
  <si>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</si>
  <si>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</si>
  <si>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</si>
  <si>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</si>
  <si>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</si>
  <si>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</si>
  <si>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</si>
  <si>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</si>
  <si>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</si>
  <si>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</si>
  <si>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</si>
  <si>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</si>
  <si>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</si>
  <si>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</si>
  <si>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</si>
  <si>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</si>
  <si>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</si>
  <si>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</si>
  <si>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</si>
  <si>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</si>
  <si>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</si>
  <si>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</si>
  <si>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</si>
  <si>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</si>
  <si>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</si>
  <si>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</si>
  <si>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</si>
  <si>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</si>
  <si>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</si>
  <si>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</si>
  <si>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</si>
  <si>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</si>
  <si>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</si>
  <si>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</si>
  <si>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</si>
  <si>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</si>
  <si>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Negocio 1 - Qual o faturamento total de vendas de planos anuais (contendo todas as assinaturas agregadas)</t>
  </si>
  <si>
    <t>Soma de Total Value</t>
  </si>
  <si>
    <t>Rótulos de Linha</t>
  </si>
  <si>
    <t>Total Geral</t>
  </si>
  <si>
    <t>(Tudo)</t>
  </si>
  <si>
    <t>Pergunta de Negocio 2 - Qual o faturamento total de vendas de planos anuais seperado por alto renovaççao e não é por auto renovação</t>
  </si>
  <si>
    <t>XBOX GAME PASS SUBSCRIPTIONS SALES</t>
  </si>
  <si>
    <t/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</si>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</sst>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7" formatCode="&quot;R$&quot;\ #,##0.00;\-&quot;R$&quot;\ #,##0.00"/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b/>
      <sz val="15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9" tint="-0.2499465926084170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/>
    <xf numFmtId="7" fontId="0" fillId="0" borderId="0" xfId="0" applyNumberFormat="1"/>
    <xf numFmtId="0" fontId="0" fillId="0" borderId="0" xfId="0" quotePrefix="1"/>
    <xf numFmtId="44" fontId="0" fillId="0" borderId="0" xfId="2" applyFont="1"/>
    <xf numFmtId="0" fontId="0" fillId="4" borderId="0" xfId="0" applyFill="1" applyProtection="1"/>
    <xf numFmtId="0" fontId="0" fillId="5" borderId="0" xfId="0" applyFill="1" applyProtection="1"/>
    <xf numFmtId="0" fontId="0" fillId="0" borderId="0" xfId="0" applyFill="1" applyProtection="1"/>
    <xf numFmtId="0" fontId="5" fillId="0" borderId="0" xfId="1" applyFont="1" applyFill="1" applyBorder="1" applyAlignment="1" applyProtection="1">
      <alignment horizontal="left" indent="11"/>
    </xf>
    <xf numFmtId="0" fontId="4" fillId="0" borderId="2" xfId="1" applyFont="1" applyFill="1" applyBorder="1" applyProtection="1"/>
    <xf numFmtId="0" fontId="0" fillId="7" borderId="0" xfId="0" applyFill="1" applyProtection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  <name val="Segoe UI"/>
        <family val="2"/>
        <scheme val="none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fgColor indexed="64"/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3F7465FD-62EF-4416-93D3-92B8C3575736}">
      <tableStyleElement type="wholeTable" dxfId="15"/>
      <tableStyleElement type="headerRow" dxfId="14"/>
    </tableStyle>
  </tableStyles>
  <colors>
    <mruColors>
      <color rgb="FF5BF6A8"/>
      <color rgb="FF22C55E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[dashboard_xbox_finalizado.xlsx]C̳álculos!tbl_annual_total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81C-4AB7-8E35-1B5968008D3F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1C-4AB7-8E35-1B5968008D3F}"/>
              </c:ext>
            </c:extLst>
          </c:dPt>
          <c:cat>
            <c:strRef>
              <c:f>C̳álculos!$C$9:$C$11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C̳álculos!$D$9:$D$11</c:f>
              <c:numCache>
                <c:formatCode>"R$"#,##0.00_);\("R$"#,##0.00\)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C-4AB7-8E35-1B5968008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7325871"/>
        <c:axId val="1517322543"/>
      </c:barChart>
      <c:catAx>
        <c:axId val="1517325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322543"/>
        <c:crosses val="autoZero"/>
        <c:auto val="1"/>
        <c:lblAlgn val="ctr"/>
        <c:lblOffset val="100"/>
        <c:noMultiLvlLbl val="0"/>
      </c:catAx>
      <c:valAx>
        <c:axId val="1517322543"/>
        <c:scaling>
          <c:orientation val="minMax"/>
        </c:scaling>
        <c:delete val="1"/>
        <c:axPos val="b"/>
        <c:numFmt formatCode="&quot;R$&quot;#,##0.00_);\(&quot;R$&quot;#,##0.00\)" sourceLinked="1"/>
        <c:majorTickMark val="none"/>
        <c:minorTickMark val="none"/>
        <c:tickLblPos val="nextTo"/>
        <c:crossAx val="151732587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[dashboard_xbox_finalizado.xlsx]C̳álculos!tbl_annual_total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  <c:dLbl>
          <c:idx val="0"/>
          <c:layout>
            <c:manualLayout>
              <c:x val="-6.1130439940063565E-5"/>
              <c:y val="-8.280416073624464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5BF6A8"/>
          </a:solidFill>
          <a:ln>
            <a:noFill/>
          </a:ln>
          <a:effectLst/>
        </c:spPr>
        <c:dLbl>
          <c:idx val="0"/>
          <c:layout>
            <c:manualLayout>
              <c:x val="-1.4207742004277632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B56-4933-B6ED-3A385552BC9B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B56-4933-B6ED-3A385552BC9B}"/>
              </c:ext>
            </c:extLst>
          </c:dPt>
          <c:dLbls>
            <c:dLbl>
              <c:idx val="0"/>
              <c:layout>
                <c:manualLayout>
                  <c:x val="-6.1130439940063565E-5"/>
                  <c:y val="-8.2804160736244647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56-4933-B6ED-3A385552BC9B}"/>
                </c:ext>
              </c:extLst>
            </c:dLbl>
            <c:dLbl>
              <c:idx val="1"/>
              <c:layout>
                <c:manualLayout>
                  <c:x val="-1.420774200427763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56-4933-B6ED-3A385552BC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C̳álculos!$C$9:$C$11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C̳álculos!$D$9:$D$11</c:f>
              <c:numCache>
                <c:formatCode>"R$"#,##0.00_);\("R$"#,##0.00\)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56-4933-B6ED-3A385552BC9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17325871"/>
        <c:axId val="1517322543"/>
      </c:barChart>
      <c:catAx>
        <c:axId val="1517325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322543"/>
        <c:crosses val="autoZero"/>
        <c:auto val="1"/>
        <c:lblAlgn val="ctr"/>
        <c:lblOffset val="100"/>
        <c:noMultiLvlLbl val="0"/>
      </c:catAx>
      <c:valAx>
        <c:axId val="1517322543"/>
        <c:scaling>
          <c:orientation val="minMax"/>
        </c:scaling>
        <c:delete val="1"/>
        <c:axPos val="b"/>
        <c:numFmt formatCode="&quot;R$&quot;#,##0.00_);\(&quot;R$&quot;#,##0.00\)" sourceLinked="1"/>
        <c:majorTickMark val="none"/>
        <c:minorTickMark val="none"/>
        <c:tickLblPos val="nextTo"/>
        <c:crossAx val="151732587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2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127000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127000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195262</xdr:colOff>
      <xdr:row>4</xdr:row>
      <xdr:rowOff>133350</xdr:rowOff>
    </xdr:from>
    <xdr:to>
      <xdr:col>8</xdr:col>
      <xdr:colOff>604837</xdr:colOff>
      <xdr:row>19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78F451-8563-42F9-B9C4-287E56B9B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647700</xdr:colOff>
      <xdr:row>11</xdr:row>
      <xdr:rowOff>171451</xdr:rowOff>
    </xdr:from>
    <xdr:to>
      <xdr:col>3</xdr:col>
      <xdr:colOff>419100</xdr:colOff>
      <xdr:row>19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6D882492-D76C-4D0C-932F-0EA26C8C97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0" y="2162176"/>
              <a:ext cx="1828800" cy="127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83342</xdr:colOff>
      <xdr:row>0</xdr:row>
      <xdr:rowOff>47624</xdr:rowOff>
    </xdr:from>
    <xdr:to>
      <xdr:col>3</xdr:col>
      <xdr:colOff>1142999</xdr:colOff>
      <xdr:row>2</xdr:row>
      <xdr:rowOff>345280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C0DD31A-AB58-43FA-B89D-0C3CB2D045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00" t="17184" r="72364" b="21552"/>
        <a:stretch/>
      </xdr:blipFill>
      <xdr:spPr>
        <a:xfrm>
          <a:off x="2583655" y="47624"/>
          <a:ext cx="1059657" cy="976312"/>
        </a:xfrm>
        <a:prstGeom prst="rect">
          <a:avLst/>
        </a:prstGeom>
      </xdr:spPr>
    </xdr:pic>
    <xdr:clientData/>
  </xdr:twoCellAnchor>
  <xdr:twoCellAnchor editAs="absolute">
    <xdr:from>
      <xdr:col>0</xdr:col>
      <xdr:colOff>47626</xdr:colOff>
      <xdr:row>7</xdr:row>
      <xdr:rowOff>221457</xdr:rowOff>
    </xdr:from>
    <xdr:to>
      <xdr:col>0</xdr:col>
      <xdr:colOff>2369344</xdr:colOff>
      <xdr:row>14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4459DD83-7D5E-416C-975F-2728E99D562D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6" y="1855361"/>
              <a:ext cx="2321718" cy="13047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3</xdr:col>
      <xdr:colOff>442133</xdr:colOff>
      <xdr:row>5</xdr:row>
      <xdr:rowOff>85175</xdr:rowOff>
    </xdr:from>
    <xdr:to>
      <xdr:col>6</xdr:col>
      <xdr:colOff>465945</xdr:colOff>
      <xdr:row>13</xdr:row>
      <xdr:rowOff>9157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CAB13248-25FC-44A0-AF3A-8F623256BDBF}"/>
            </a:ext>
          </a:extLst>
        </xdr:cNvPr>
        <xdr:cNvGrpSpPr/>
      </xdr:nvGrpSpPr>
      <xdr:grpSpPr>
        <a:xfrm>
          <a:off x="2947941" y="1462637"/>
          <a:ext cx="4383331" cy="1513924"/>
          <a:chOff x="2964656" y="1226345"/>
          <a:chExt cx="4738687" cy="1488280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9AF0EDD2-D5B9-4E5C-BC91-DDAE93D37B06}"/>
              </a:ext>
            </a:extLst>
          </xdr:cNvPr>
          <xdr:cNvSpPr/>
        </xdr:nvSpPr>
        <xdr:spPr>
          <a:xfrm>
            <a:off x="2982515" y="1452562"/>
            <a:ext cx="4693976" cy="1250156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7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0A859C2E-9737-42C6-8C2C-C01D70207CED}"/>
              </a:ext>
            </a:extLst>
          </xdr:cNvPr>
          <xdr:cNvSpPr/>
        </xdr:nvSpPr>
        <xdr:spPr>
          <a:xfrm>
            <a:off x="4524375" y="1593056"/>
            <a:ext cx="3178968" cy="993162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22FEE10-679F-4FFA-AA57-CE0F4BD1AACD}" type="TxLink">
              <a:rPr lang="en-US" sz="4000" b="0" i="0" u="none" strike="noStrike">
                <a:solidFill>
                  <a:srgbClr val="5BF6A8"/>
                </a:solidFill>
                <a:latin typeface="Segoi ui"/>
              </a:rPr>
              <a:pPr algn="ctr"/>
              <a:t> R$ 2.940,00 </a:t>
            </a:fld>
            <a:endParaRPr lang="pt-BR" sz="4000">
              <a:solidFill>
                <a:srgbClr val="5BF6A8"/>
              </a:solidFill>
              <a:latin typeface="Segoi ui"/>
            </a:endParaRPr>
          </a:p>
        </xdr:txBody>
      </xdr: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DB3EA9F0-C784-463D-BE31-0D254D775B4C}"/>
              </a:ext>
            </a:extLst>
          </xdr:cNvPr>
          <xdr:cNvSpPr txBox="1"/>
        </xdr:nvSpPr>
        <xdr:spPr>
          <a:xfrm>
            <a:off x="2964656" y="1226345"/>
            <a:ext cx="4714875" cy="416718"/>
          </a:xfrm>
          <a:prstGeom prst="roundRect">
            <a:avLst/>
          </a:prstGeom>
          <a:solidFill>
            <a:srgbClr val="22C55E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  <a:latin typeface="Segoi ui"/>
              </a:rPr>
              <a:t>Total Subscritiobs EA Play Season Press</a:t>
            </a:r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4AB8B1C8-31F2-4E79-AC3D-F0BDE4A002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82514" y="1452562"/>
            <a:ext cx="1501959" cy="1262063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>
    <xdr:from>
      <xdr:col>6</xdr:col>
      <xdr:colOff>968986</xdr:colOff>
      <xdr:row>5</xdr:row>
      <xdr:rowOff>91129</xdr:rowOff>
    </xdr:from>
    <xdr:to>
      <xdr:col>9</xdr:col>
      <xdr:colOff>980890</xdr:colOff>
      <xdr:row>13</xdr:row>
      <xdr:rowOff>3204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B93C0713-1038-4D02-B9C9-1EE8FA9F4A81}"/>
            </a:ext>
          </a:extLst>
        </xdr:cNvPr>
        <xdr:cNvGrpSpPr/>
      </xdr:nvGrpSpPr>
      <xdr:grpSpPr>
        <a:xfrm>
          <a:off x="7834313" y="1468591"/>
          <a:ext cx="4737769" cy="1502017"/>
          <a:chOff x="8191501" y="1416843"/>
          <a:chExt cx="4726779" cy="1476373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3A1E8D55-B1B9-42A1-BA34-49394CCC6ACB}"/>
              </a:ext>
            </a:extLst>
          </xdr:cNvPr>
          <xdr:cNvGrpSpPr/>
        </xdr:nvGrpSpPr>
        <xdr:grpSpPr>
          <a:xfrm>
            <a:off x="8191501" y="1416843"/>
            <a:ext cx="4726779" cy="1476373"/>
            <a:chOff x="2964656" y="1226345"/>
            <a:chExt cx="4726779" cy="1476373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33D48F8B-408E-44B6-82F9-2BE67DCCD8B4}"/>
                </a:ext>
              </a:extLst>
            </xdr:cNvPr>
            <xdr:cNvSpPr/>
          </xdr:nvSpPr>
          <xdr:spPr>
            <a:xfrm>
              <a:off x="2982515" y="1452562"/>
              <a:ext cx="4693976" cy="1250156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7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A7C7BE5A-DC83-4563-8D4C-021269A2AB10}"/>
                </a:ext>
              </a:extLst>
            </xdr:cNvPr>
            <xdr:cNvSpPr/>
          </xdr:nvSpPr>
          <xdr:spPr>
            <a:xfrm>
              <a:off x="4512467" y="1593056"/>
              <a:ext cx="3178968" cy="993162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3482FCD-6B89-4C68-9415-9FA24F9E7450}" type="TxLink">
                <a:rPr lang="en-US" sz="4000" b="0" i="0" u="none" strike="noStrike">
                  <a:solidFill>
                    <a:srgbClr val="5BF6A8"/>
                  </a:solidFill>
                  <a:latin typeface="Segoi ui"/>
                </a:rPr>
                <a:pPr algn="ctr"/>
                <a:t> R$ 3.880,00 </a:t>
              </a:fld>
              <a:endParaRPr lang="pt-BR" sz="4000">
                <a:solidFill>
                  <a:srgbClr val="5BF6A8"/>
                </a:solidFill>
                <a:latin typeface="Segoi ui"/>
              </a:endParaRPr>
            </a:p>
          </xdr:txBody>
        </xdr:sp>
        <xdr:sp macro="" textlink="">
          <xdr:nvSpPr>
            <xdr:cNvPr id="17" name="CaixaDeTexto 16">
              <a:extLst>
                <a:ext uri="{FF2B5EF4-FFF2-40B4-BE49-F238E27FC236}">
                  <a16:creationId xmlns:a16="http://schemas.microsoft.com/office/drawing/2014/main" id="{CD50919F-B6D0-417C-BACC-9FDAAA48B0E0}"/>
                </a:ext>
              </a:extLst>
            </xdr:cNvPr>
            <xdr:cNvSpPr txBox="1"/>
          </xdr:nvSpPr>
          <xdr:spPr>
            <a:xfrm>
              <a:off x="2964656" y="1226345"/>
              <a:ext cx="4714875" cy="416718"/>
            </a:xfrm>
            <a:prstGeom prst="roundRect">
              <a:avLst/>
            </a:prstGeom>
            <a:solidFill>
              <a:srgbClr val="22C55E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600" b="1">
                  <a:solidFill>
                    <a:schemeClr val="bg1"/>
                  </a:solidFill>
                  <a:latin typeface="Segoi ui"/>
                </a:rPr>
                <a:t>Total Subscritiobs Minecraft Season Pass Price</a:t>
              </a: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857D750B-428C-4264-A72B-DE066D015CE2}"/>
              </a:ext>
            </a:extLst>
          </xdr:cNvPr>
          <xdr:cNvGrpSpPr/>
        </xdr:nvGrpSpPr>
        <xdr:grpSpPr>
          <a:xfrm>
            <a:off x="8251031" y="1940719"/>
            <a:ext cx="1778071" cy="714374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520D042B-CCF4-42E7-9CC8-B48064B0763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F7EF184F-ECF8-408A-954B-7EEC6BBDA85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3</xdr:col>
      <xdr:colOff>409390</xdr:colOff>
      <xdr:row>15</xdr:row>
      <xdr:rowOff>67773</xdr:rowOff>
    </xdr:from>
    <xdr:to>
      <xdr:col>9</xdr:col>
      <xdr:colOff>916781</xdr:colOff>
      <xdr:row>31</xdr:row>
      <xdr:rowOff>144707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D31A5EC7-C6FE-471C-A0F6-99F13CD35F8E}"/>
            </a:ext>
          </a:extLst>
        </xdr:cNvPr>
        <xdr:cNvGrpSpPr/>
      </xdr:nvGrpSpPr>
      <xdr:grpSpPr>
        <a:xfrm>
          <a:off x="2915198" y="3401523"/>
          <a:ext cx="9592775" cy="3007703"/>
          <a:chOff x="2915198" y="3694600"/>
          <a:chExt cx="9592775" cy="3007703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5718B216-7638-498C-BF3A-694B25AD1E83}"/>
              </a:ext>
            </a:extLst>
          </xdr:cNvPr>
          <xdr:cNvGrpSpPr/>
        </xdr:nvGrpSpPr>
        <xdr:grpSpPr>
          <a:xfrm>
            <a:off x="2918092" y="3700096"/>
            <a:ext cx="9589881" cy="3002207"/>
            <a:chOff x="2988468" y="1440656"/>
            <a:chExt cx="4693976" cy="2928938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63810B17-F6B2-4DF2-80F0-73EDF0DBCE76}"/>
                </a:ext>
              </a:extLst>
            </xdr:cNvPr>
            <xdr:cNvSpPr/>
          </xdr:nvSpPr>
          <xdr:spPr>
            <a:xfrm>
              <a:off x="2988468" y="1440656"/>
              <a:ext cx="4693976" cy="292893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A958789-5F75-4162-B693-12E4237E3936}"/>
                </a:ext>
              </a:extLst>
            </xdr:cNvPr>
            <xdr:cNvGraphicFramePr>
              <a:graphicFrameLocks/>
            </xdr:cNvGraphicFramePr>
          </xdr:nvGraphicFramePr>
          <xdr:xfrm>
            <a:off x="3014662" y="1607343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3" name="CaixaDeTexto 22">
            <a:extLst>
              <a:ext uri="{FF2B5EF4-FFF2-40B4-BE49-F238E27FC236}">
                <a16:creationId xmlns:a16="http://schemas.microsoft.com/office/drawing/2014/main" id="{4E1AC163-F19B-4845-ADCE-68DA1055629E}"/>
              </a:ext>
            </a:extLst>
          </xdr:cNvPr>
          <xdr:cNvSpPr txBox="1"/>
        </xdr:nvSpPr>
        <xdr:spPr>
          <a:xfrm>
            <a:off x="2915198" y="3694600"/>
            <a:ext cx="9591859" cy="425876"/>
          </a:xfrm>
          <a:prstGeom prst="roundRect">
            <a:avLst/>
          </a:prstGeom>
          <a:solidFill>
            <a:srgbClr val="22C55E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  <a:latin typeface="Segoi ui"/>
              </a:rPr>
              <a:t>TOTAL</a:t>
            </a:r>
            <a:r>
              <a:rPr lang="pt-BR" sz="1600" b="1" baseline="0">
                <a:solidFill>
                  <a:schemeClr val="bg1"/>
                </a:solidFill>
                <a:latin typeface="Segoi ui"/>
              </a:rPr>
              <a:t> SUBSCRIPTS XBOX GAME PASS</a:t>
            </a:r>
            <a:endParaRPr lang="pt-BR" sz="1600" b="1">
              <a:solidFill>
                <a:schemeClr val="bg1"/>
              </a:solidFill>
              <a:latin typeface="Segoi ui"/>
            </a:endParaRPr>
          </a:p>
        </xdr:txBody>
      </xdr:sp>
    </xdr:grpSp>
    <xdr:clientData/>
  </xdr:twoCellAnchor>
  <xdr:twoCellAnchor>
    <xdr:from>
      <xdr:col>0</xdr:col>
      <xdr:colOff>666751</xdr:colOff>
      <xdr:row>0</xdr:row>
      <xdr:rowOff>178593</xdr:rowOff>
    </xdr:from>
    <xdr:to>
      <xdr:col>0</xdr:col>
      <xdr:colOff>1770927</xdr:colOff>
      <xdr:row>2</xdr:row>
      <xdr:rowOff>440531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5F38FEBA-E433-48DC-B8D2-C55423065CC0}"/>
            </a:ext>
          </a:extLst>
        </xdr:cNvPr>
        <xdr:cNvSpPr/>
      </xdr:nvSpPr>
      <xdr:spPr>
        <a:xfrm>
          <a:off x="666751" y="178593"/>
          <a:ext cx="1104176" cy="940594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214312</xdr:colOff>
      <xdr:row>4</xdr:row>
      <xdr:rowOff>35719</xdr:rowOff>
    </xdr:from>
    <xdr:to>
      <xdr:col>0</xdr:col>
      <xdr:colOff>2202656</xdr:colOff>
      <xdr:row>7</xdr:row>
      <xdr:rowOff>47625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426A07B2-678A-46DC-A270-B1EDCB484847}"/>
            </a:ext>
          </a:extLst>
        </xdr:cNvPr>
        <xdr:cNvSpPr txBox="1"/>
      </xdr:nvSpPr>
      <xdr:spPr>
        <a:xfrm>
          <a:off x="214312" y="1321594"/>
          <a:ext cx="1988344" cy="3571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&gt; Bem-vinda,</a:t>
          </a:r>
          <a:r>
            <a:rPr lang="pt-BR" sz="1600" b="1" baseline="0">
              <a:solidFill>
                <a:schemeClr val="bg1"/>
              </a:solidFill>
            </a:rPr>
            <a:t> Lianna!</a:t>
          </a:r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1414097</xdr:colOff>
      <xdr:row>33</xdr:row>
      <xdr:rowOff>146539</xdr:rowOff>
    </xdr:from>
    <xdr:to>
      <xdr:col>11</xdr:col>
      <xdr:colOff>0</xdr:colOff>
      <xdr:row>35</xdr:row>
      <xdr:rowOff>143790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A1C9B7E0-0B9E-4A20-9334-53FCD12AA4A0}"/>
            </a:ext>
          </a:extLst>
        </xdr:cNvPr>
        <xdr:cNvSpPr txBox="1"/>
      </xdr:nvSpPr>
      <xdr:spPr>
        <a:xfrm>
          <a:off x="8279424" y="6777404"/>
          <a:ext cx="4769826" cy="3635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0" i="0">
              <a:solidFill>
                <a:schemeClr val="bg2">
                  <a:lumMod val="75000"/>
                </a:schemeClr>
              </a:solidFill>
            </a:rPr>
            <a:t>Calculation period: 01/01/2024 - 31/12/2024 | Update</a:t>
          </a:r>
          <a:r>
            <a:rPr lang="pt-BR" sz="1000" b="0" i="0" baseline="0">
              <a:solidFill>
                <a:schemeClr val="bg2">
                  <a:lumMod val="75000"/>
                </a:schemeClr>
              </a:solidFill>
            </a:rPr>
            <a:t> date: 25/12/2024 09:00:00</a:t>
          </a:r>
          <a:endParaRPr lang="pt-BR" sz="1000" b="0" i="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unara Alencar" refreshedDate="46312.581249884257" createdVersion="7" refreshedVersion="7" minRefreshableVersion="3" recordCount="295" xr:uid="{6DB7FEEC-1126-4406-B3DA-3905EBFEDC6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8387830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4E8E9-CE18-451F-81A3-F7953D8B47B5}" name="tbl_mini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C33:D3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D1D26-83D6-49C0-B49D-5B2A1AD8D654}" name="TBL_some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C24:D28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994C6-0E91-4235-B642-1FCBAFE02F27}" name="tbl_annual_total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C8:D11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sd="0" x="1"/>
        <item sd="0" x="0"/>
        <item sd="0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6" baseItem="0" numFmtId="7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9DFF828-A507-4D85-A987-273E88D26152}" sourceName="Subscription Type">
  <pivotTables>
    <pivotTable tabId="3" name="tbl_annual_total"/>
    <pivotTable tabId="3" name="TBL_some"/>
    <pivotTable tabId="3" name="tbl_mini"/>
  </pivotTables>
  <data>
    <tabular pivotCacheId="1838783048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1D89378-84DE-4AE1-A79B-1D50C90C54C2}" cache="SegmentaçãodeDados_Subscription_Type" caption="Subscription Type" style="SlicerStyleLight6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D8235ED7-DEDB-4F61-ADC0-E589DBDF2CB6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F3" sqref="F3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showGridLines="0" zoomScale="90" zoomScaleNormal="90" workbookViewId="0">
      <selection activeCell="F3" sqref="F3"/>
    </sheetView>
  </sheetViews>
  <sheetFormatPr defaultRowHeight="14.25"/>
  <cols>
    <col min="1" max="1" width="17.375" style="13" bestFit="1" customWidth="1"/>
    <col min="2" max="2" width="17.5" style="13" bestFit="1" customWidth="1"/>
    <col min="3" max="3" width="9.375" style="13" bestFit="1" customWidth="1"/>
    <col min="4" max="4" width="14.125" style="13" bestFit="1" customWidth="1"/>
    <col min="5" max="5" width="17.875" style="13" bestFit="1" customWidth="1"/>
    <col min="6" max="6" width="16.375" style="13" bestFit="1" customWidth="1"/>
    <col min="7" max="7" width="21.5" style="13" bestFit="1" customWidth="1"/>
    <col min="8" max="9" width="24.125" style="13" bestFit="1" customWidth="1"/>
    <col min="10" max="10" width="20.875" style="13" bestFit="1" customWidth="1"/>
    <col min="11" max="11" width="25.625" style="13" bestFit="1" customWidth="1"/>
    <col min="12" max="12" width="12.25" style="13" bestFit="1" customWidth="1"/>
    <col min="13" max="13" width="10.5" style="13" bestFit="1" customWidth="1"/>
    <col min="14" max="16384" width="9" style="13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customForma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customForma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customForma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customForma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customForma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customForma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customForma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customForma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customForma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customForma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customForma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customForma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customForma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customForma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customForma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customForma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customForma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customForma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customForma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customForma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customForma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customForma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customForma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customForma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customForma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customForma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customForma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customForma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customForma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customForma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customForma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customForma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customForma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customForma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customForma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customForma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customForma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customForma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customForma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customForma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customForma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customForma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customForma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customForma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customForma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customForma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customForma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customForma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customForma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customForma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customForma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customForma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customForma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customForma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customForma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customForma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customForma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customForma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customForma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customForma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customForma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customForma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customForma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customForma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customForma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customForma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customForma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customForma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customForma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customForma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customForma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customForma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customForma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customForma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customForma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customForma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customForma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customForma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customForma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customForma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customForma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customForma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customForma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customForma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customForma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customForma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customForma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customForma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customForma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customForma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customForma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customForma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customForma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customForma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customForma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customForma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customForma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customForma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customForma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customForma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customForma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customForma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customForma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customForma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customForma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customForma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customForma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customForma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customForma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customForma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customForma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customForma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customForma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customForma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customForma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customForma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customForma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customForma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customForma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customForma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customForma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customForma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customForma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customForma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customForma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customForma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customForma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customForma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customForma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customForma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customForma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customForma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customForma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customForma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customForma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customForma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customForma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customForma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customForma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customForma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customForma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customForma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customForma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customForma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customForma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customForma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customForma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customForma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customForma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customForma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customForma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customForma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customForma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customForma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customForma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customForma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customForma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customForma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customForma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customForma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customForma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customForma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customForma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customForma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customForma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customForma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customForma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customForma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customForma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customForma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customForma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customForma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customForma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customForma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customForma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customForma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customForma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customForma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customForma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customForma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customForma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customForma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customForma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customForma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customForma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customForma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customForma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customForma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customForma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customForma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customForma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customForma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customForma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customForma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customForma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customFormat="1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customFormat="1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3:H37"/>
  <sheetViews>
    <sheetView showGridLines="0" topLeftCell="A7" workbookViewId="0">
      <selection activeCell="F3" sqref="F3"/>
    </sheetView>
  </sheetViews>
  <sheetFormatPr defaultRowHeight="14.25"/>
  <cols>
    <col min="3" max="3" width="18" bestFit="1" customWidth="1"/>
    <col min="4" max="4" width="19.125" bestFit="1" customWidth="1"/>
    <col min="5" max="5" width="12" bestFit="1" customWidth="1"/>
    <col min="6" max="6" width="10.75" bestFit="1" customWidth="1"/>
    <col min="7" max="7" width="27.75" bestFit="1" customWidth="1"/>
    <col min="8" max="8" width="5.375" customWidth="1"/>
    <col min="9" max="9" width="21.125" bestFit="1" customWidth="1"/>
    <col min="10" max="10" width="18" bestFit="1" customWidth="1"/>
    <col min="11" max="11" width="27.875" bestFit="1" customWidth="1"/>
    <col min="12" max="12" width="38.375" bestFit="1" customWidth="1"/>
    <col min="13" max="15" width="9.75" bestFit="1" customWidth="1"/>
    <col min="16" max="16" width="15.625" bestFit="1" customWidth="1"/>
    <col min="17" max="17" width="12.125" bestFit="1" customWidth="1"/>
  </cols>
  <sheetData>
    <row r="3" spans="3:4">
      <c r="C3" t="s">
        <v>313</v>
      </c>
    </row>
    <row r="4" spans="3:4">
      <c r="C4" t="s">
        <v>318</v>
      </c>
    </row>
    <row r="6" spans="3:4">
      <c r="C6" s="15" t="s">
        <v>16</v>
      </c>
      <c r="D6" t="s">
        <v>317</v>
      </c>
    </row>
    <row r="8" spans="3:4">
      <c r="C8" s="15" t="s">
        <v>315</v>
      </c>
      <c r="D8" t="s">
        <v>314</v>
      </c>
    </row>
    <row r="9" spans="3:4">
      <c r="C9" s="12" t="s">
        <v>23</v>
      </c>
      <c r="D9" s="16">
        <v>3847</v>
      </c>
    </row>
    <row r="10" spans="3:4">
      <c r="C10" s="12" t="s">
        <v>19</v>
      </c>
      <c r="D10" s="16">
        <v>3786</v>
      </c>
    </row>
    <row r="11" spans="3:4">
      <c r="C11" s="12" t="s">
        <v>316</v>
      </c>
      <c r="D11" s="16">
        <v>7633</v>
      </c>
    </row>
    <row r="22" spans="3:8">
      <c r="C22" s="15" t="s">
        <v>16</v>
      </c>
      <c r="D22" t="s">
        <v>317</v>
      </c>
    </row>
    <row r="24" spans="3:8">
      <c r="C24" s="15" t="s">
        <v>315</v>
      </c>
      <c r="D24" t="s">
        <v>321</v>
      </c>
      <c r="H24" s="17" t="s">
        <v>320</v>
      </c>
    </row>
    <row r="25" spans="3:8">
      <c r="C25" s="12" t="s">
        <v>22</v>
      </c>
      <c r="D25" s="14">
        <v>0</v>
      </c>
    </row>
    <row r="26" spans="3:8">
      <c r="C26" s="12" t="s">
        <v>26</v>
      </c>
      <c r="D26" s="14">
        <v>0</v>
      </c>
      <c r="F26" s="18"/>
    </row>
    <row r="27" spans="3:8">
      <c r="C27" s="12" t="s">
        <v>18</v>
      </c>
      <c r="D27" s="14">
        <v>2940</v>
      </c>
      <c r="F27" s="18">
        <f>GETPIVOTDATA("EA Play Season Pass
Price",$C$24,"Plan","Ultimate")</f>
        <v>2940</v>
      </c>
    </row>
    <row r="28" spans="3:8">
      <c r="C28" s="12" t="s">
        <v>316</v>
      </c>
      <c r="D28" s="14">
        <v>2940</v>
      </c>
    </row>
    <row r="31" spans="3:8">
      <c r="C31" s="15" t="s">
        <v>16</v>
      </c>
      <c r="D31" t="s">
        <v>317</v>
      </c>
    </row>
    <row r="33" spans="3:5">
      <c r="C33" s="15" t="s">
        <v>315</v>
      </c>
      <c r="D33" t="s">
        <v>322</v>
      </c>
    </row>
    <row r="34" spans="3:5">
      <c r="C34" s="12" t="s">
        <v>22</v>
      </c>
      <c r="D34" s="14">
        <v>0</v>
      </c>
    </row>
    <row r="35" spans="3:5">
      <c r="C35" s="12" t="s">
        <v>26</v>
      </c>
      <c r="D35" s="14">
        <v>1920</v>
      </c>
    </row>
    <row r="36" spans="3:5">
      <c r="C36" s="12" t="s">
        <v>18</v>
      </c>
      <c r="D36" s="14">
        <v>1960</v>
      </c>
    </row>
    <row r="37" spans="3:5">
      <c r="C37" s="12" t="s">
        <v>316</v>
      </c>
      <c r="D37" s="14">
        <v>3880</v>
      </c>
      <c r="E37" s="18">
        <f>GETPIVOTDATA("Minecraft Season Pass Price",$C$33)</f>
        <v>3880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M36"/>
  <sheetViews>
    <sheetView showGridLines="0" showRowColHeaders="0" tabSelected="1" zoomScale="130" zoomScaleNormal="130" workbookViewId="0">
      <selection activeCell="C36" sqref="C36"/>
    </sheetView>
  </sheetViews>
  <sheetFormatPr defaultColWidth="0" defaultRowHeight="14.25" zeroHeight="1"/>
  <cols>
    <col min="1" max="1" width="31.625" style="19" customWidth="1"/>
    <col min="2" max="2" width="0.5" style="20" customWidth="1"/>
    <col min="3" max="3" width="0.75" style="21" customWidth="1"/>
    <col min="4" max="4" width="15.875" style="24" customWidth="1"/>
    <col min="5" max="9" width="20.625" style="24" customWidth="1"/>
    <col min="10" max="10" width="13.375" style="24" customWidth="1"/>
    <col min="11" max="11" width="5.75" style="24" customWidth="1"/>
    <col min="12" max="12" width="20.625" style="24" hidden="1" customWidth="1"/>
    <col min="13" max="13" width="0" style="24" hidden="1" customWidth="1"/>
    <col min="14" max="16384" width="20.625" style="24" hidden="1"/>
  </cols>
  <sheetData>
    <row r="1" spans="1:10" s="21" customFormat="1">
      <c r="A1" s="19"/>
      <c r="B1" s="20"/>
    </row>
    <row r="2" spans="1:10" s="21" customFormat="1" ht="39" customHeight="1" thickBot="1">
      <c r="A2" s="19"/>
      <c r="B2" s="20"/>
      <c r="D2" s="22" t="s">
        <v>319</v>
      </c>
      <c r="E2" s="23"/>
      <c r="F2" s="23"/>
      <c r="G2" s="23"/>
      <c r="H2" s="23"/>
      <c r="I2" s="23"/>
      <c r="J2" s="23"/>
    </row>
    <row r="3" spans="1:10" s="21" customFormat="1" ht="39" customHeight="1" thickTop="1">
      <c r="A3" s="19"/>
      <c r="B3" s="20"/>
    </row>
    <row r="4" spans="1:10" ht="8.25" customHeight="1"/>
    <row r="5" spans="1:10" ht="7.5" customHeight="1"/>
    <row r="6" spans="1:10" ht="10.5" customHeight="1"/>
    <row r="7" spans="1:10" ht="9.75" customHeight="1"/>
    <row r="8" spans="1:10" ht="33" customHeight="1"/>
    <row r="9" spans="1:10"/>
    <row r="10" spans="1:10"/>
    <row r="11" spans="1:10"/>
    <row r="12" spans="1:10"/>
    <row r="13" spans="1:10"/>
    <row r="14" spans="1:10"/>
    <row r="15" spans="1:10"/>
    <row r="16" spans="1:10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</sheetData>
  <sheetProtection sheet="1" objects="1" scenarios="1" selectLockedCells="1"/>
  <pageMargins left="0.511811024" right="0.511811024" top="0.78740157499999996" bottom="0.78740157499999996" header="0.31496062000000002" footer="0.31496062000000002"/>
  <pageSetup orientation="portrait" horizontalDpi="360" verticalDpi="36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Lunara Alencar</cp:lastModifiedBy>
  <dcterms:created xsi:type="dcterms:W3CDTF">2024-12-19T13:13:10Z</dcterms:created>
  <dcterms:modified xsi:type="dcterms:W3CDTF">2026-10-17T16:57:14Z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